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s\Desktop\"/>
    </mc:Choice>
  </mc:AlternateContent>
  <xr:revisionPtr revIDLastSave="0" documentId="13_ncr:1_{401E6BCB-904A-4FDF-B283-FD66E53A3E0C}" xr6:coauthVersionLast="47" xr6:coauthVersionMax="47" xr10:uidLastSave="{00000000-0000-0000-0000-000000000000}"/>
  <bookViews>
    <workbookView xWindow="-108" yWindow="-108" windowWidth="23256" windowHeight="12456" xr2:uid="{748DA282-4416-43CB-A8C7-552D7F003BDC}"/>
  </bookViews>
  <sheets>
    <sheet name="Quadro Pecuaria" sheetId="8" r:id="rId1"/>
    <sheet name="CIQ_LinkingNames" sheetId="6" state="hidden" r:id="rId2"/>
  </sheets>
  <definedNames>
    <definedName name="_xlnm.Print_Area" localSheetId="0">'Quadro Pecuaria'!$A$1:$J$72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"05/29/2024 14:15:31"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8" l="1"/>
  <c r="B23" i="8"/>
  <c r="H32" i="8"/>
  <c r="I32" i="8"/>
  <c r="G32" i="8"/>
  <c r="H33" i="8"/>
  <c r="I33" i="8"/>
  <c r="G33" i="8"/>
  <c r="I31" i="8"/>
  <c r="H31" i="8"/>
  <c r="G31" i="8"/>
  <c r="B30" i="8"/>
  <c r="C30" i="8" l="1"/>
  <c r="C34" i="8"/>
  <c r="B34" i="8"/>
  <c r="D23" i="8" l="1"/>
  <c r="D43" i="8" s="1"/>
  <c r="B38" i="8"/>
  <c r="C38" i="8"/>
  <c r="C23" i="8"/>
  <c r="C43" i="8" s="1"/>
  <c r="B12" i="8" l="1"/>
  <c r="C12" i="8"/>
  <c r="D12" i="8"/>
  <c r="B14" i="8"/>
  <c r="C14" i="8"/>
  <c r="D14" i="8"/>
  <c r="B17" i="8"/>
  <c r="C17" i="8"/>
  <c r="D17" i="8"/>
  <c r="D30" i="8"/>
  <c r="B42" i="8"/>
  <c r="B44" i="8" s="1"/>
  <c r="C42" i="8"/>
  <c r="D34" i="8"/>
  <c r="D38" i="8"/>
  <c r="B60" i="8"/>
  <c r="C60" i="8"/>
  <c r="D60" i="8"/>
  <c r="D62" i="8" s="1"/>
  <c r="D63" i="8" s="1"/>
  <c r="B61" i="8"/>
  <c r="C61" i="8"/>
  <c r="D61" i="8"/>
  <c r="B62" i="8"/>
  <c r="B63" i="8" s="1"/>
  <c r="C62" i="8"/>
  <c r="C63" i="8"/>
  <c r="B69" i="8"/>
  <c r="C69" i="8"/>
  <c r="D69" i="8"/>
  <c r="D71" i="8" s="1"/>
  <c r="D72" i="8" s="1"/>
  <c r="B70" i="8"/>
  <c r="C70" i="8"/>
  <c r="D70" i="8"/>
  <c r="B71" i="8"/>
  <c r="B72" i="8" s="1"/>
  <c r="C71" i="8"/>
  <c r="C72" i="8"/>
  <c r="D42" i="8" l="1"/>
  <c r="D44" i="8" s="1"/>
  <c r="D45" i="8" s="1"/>
  <c r="B45" i="8"/>
  <c r="C44" i="8"/>
  <c r="C45" i="8" s="1"/>
</calcChain>
</file>

<file path=xl/sharedStrings.xml><?xml version="1.0" encoding="utf-8"?>
<sst xmlns="http://schemas.openxmlformats.org/spreadsheetml/2006/main" count="77" uniqueCount="58">
  <si>
    <t>Observações</t>
  </si>
  <si>
    <t>Categoria</t>
  </si>
  <si>
    <t>Fêmeas 0-12 meses</t>
  </si>
  <si>
    <t>Fêmeas 12-24 meses</t>
  </si>
  <si>
    <t>Fêmeas 24-36 meses</t>
  </si>
  <si>
    <t>Fêmeas + 36 meses</t>
  </si>
  <si>
    <t>Machos 0-12 meses</t>
  </si>
  <si>
    <t>Machos 12-24 meses</t>
  </si>
  <si>
    <t>Machos 24-36 meses</t>
  </si>
  <si>
    <t>Machos + 36 meses</t>
  </si>
  <si>
    <t>Valor</t>
  </si>
  <si>
    <t>Bovinos</t>
  </si>
  <si>
    <t>Ciclo Produtivo Pecuário</t>
  </si>
  <si>
    <t>Área de Pastagem Total</t>
  </si>
  <si>
    <t>Própria</t>
  </si>
  <si>
    <t>Arrendada</t>
  </si>
  <si>
    <t>Tipo de Terminação</t>
  </si>
  <si>
    <t>A Pasto</t>
  </si>
  <si>
    <t>Custos de Produção</t>
  </si>
  <si>
    <t>Custo Total (R$)</t>
  </si>
  <si>
    <t>Custo de produção pastagem (R$/hectare)</t>
  </si>
  <si>
    <t>Diária Confinamento (R$/dia)</t>
  </si>
  <si>
    <t>Dias de confinamento</t>
  </si>
  <si>
    <t>Quantidade de animais confinados</t>
  </si>
  <si>
    <t>Animais Comercializados</t>
  </si>
  <si>
    <t>Faturamento Machos</t>
  </si>
  <si>
    <t>Quantidade de Machos (cabeças)</t>
  </si>
  <si>
    <t>Peso médio Machos (@)</t>
  </si>
  <si>
    <t>Preço Médio (R$/Cabeça)</t>
  </si>
  <si>
    <t>Faturamento Fêmeas</t>
  </si>
  <si>
    <t>Quantidade de Fêmeas (cabeças)</t>
  </si>
  <si>
    <t>Peso médio Fêmea (@)</t>
  </si>
  <si>
    <t>Faturamento Outras Categorias</t>
  </si>
  <si>
    <t>Quantidade de cabeças</t>
  </si>
  <si>
    <t>Peso médio (@)</t>
  </si>
  <si>
    <t>Receita Total (R$)</t>
  </si>
  <si>
    <t>Custo Total de Produção (R$)</t>
  </si>
  <si>
    <t>Resultado Bruto (R$)</t>
  </si>
  <si>
    <t>Margem Bruta (%)</t>
  </si>
  <si>
    <t>Dados Confinamento</t>
  </si>
  <si>
    <t>Capacidade de lotação do confinamento (cab)</t>
  </si>
  <si>
    <t>Ganho de peso médio diário por animal por dia (Kg)</t>
  </si>
  <si>
    <t>Dias de confinamento por lote</t>
  </si>
  <si>
    <t>Valor total de cabeças adquiridas (R$/cabeça)</t>
  </si>
  <si>
    <t>Quadro Pecuaria</t>
  </si>
  <si>
    <t xml:space="preserve">Quantidade total </t>
  </si>
  <si>
    <t>Cabeças</t>
  </si>
  <si>
    <t>preço medio total</t>
  </si>
  <si>
    <t>peso medio</t>
  </si>
  <si>
    <t>Custo medio (R$/cabeça)</t>
  </si>
  <si>
    <t>Estoque Rebanho Atual (qtdade)</t>
  </si>
  <si>
    <t>Avicultura</t>
  </si>
  <si>
    <t>Produção (cbçs)</t>
  </si>
  <si>
    <t>Preço Médio (R$/cbç)</t>
  </si>
  <si>
    <t>Custo Médio de Produção (R$/cbç)</t>
  </si>
  <si>
    <t>Outros</t>
  </si>
  <si>
    <t>Suinocultura</t>
  </si>
  <si>
    <t>Ciclo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</si>
</sst>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;\-#,##0;&quot;-&quot;"/>
    <numFmt numFmtId="165" formatCode="#,##0.00;\-#,##0.00;&quot;-&quot;"/>
    <numFmt numFmtId="166" formatCode="#,##0_ ;\-#,##0\ "/>
    <numFmt numFmtId="167" formatCode="_-* #,##0_-;\-* #,##0_-;_-* &quot;-&quot;??_-;_-@_-"/>
    <numFmt numFmtId="168" formatCode="_-#,##0_-;\-#,##0_-;_-&quot;-&quot;??_-;_-@_-"/>
    <numFmt numFmtId="169" formatCode="_-#,##0.00_-;\-#,##0.00_-;_-&quot;-&quot;??_-;_-@_-"/>
    <numFmt numFmtId="171" formatCode="_(* #,##0.00_);_(* \(#,##0.00\);_(* &quot;-&quot;??_);_(@_)"/>
  </numFmts>
  <fonts count="1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Tahoma"/>
      <family val="2"/>
    </font>
    <font>
      <b/>
      <sz val="12"/>
      <color theme="0"/>
      <name val="Tahoma"/>
      <family val="2"/>
    </font>
    <font>
      <sz val="11"/>
      <color theme="1"/>
      <name val="Aptos Narrow"/>
      <family val="2"/>
      <scheme val="minor"/>
    </font>
    <font>
      <sz val="10"/>
      <name val="MS Sans Serif"/>
      <family val="2"/>
    </font>
    <font>
      <b/>
      <sz val="15"/>
      <color theme="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color theme="1"/>
      <name val="Tahoma"/>
      <family val="2"/>
    </font>
    <font>
      <sz val="10"/>
      <color theme="3" tint="-0.499984740745262"/>
      <name val="Tahoma"/>
      <family val="2"/>
    </font>
    <font>
      <i/>
      <sz val="10"/>
      <name val="Tahoma"/>
      <family val="2"/>
    </font>
    <font>
      <b/>
      <i/>
      <sz val="10"/>
      <name val="Tahoma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041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206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90">
    <xf numFmtId="0" fontId="0" fillId="0" borderId="0" xfId="0"/>
    <xf numFmtId="0" fontId="3" fillId="4" borderId="0" xfId="0" applyFont="1" applyFill="1" applyAlignment="1">
      <alignment vertical="center"/>
    </xf>
    <xf numFmtId="0" fontId="9" fillId="0" borderId="0" xfId="0" applyFont="1"/>
    <xf numFmtId="0" fontId="9" fillId="0" borderId="0" xfId="0" applyFont="1" applyProtection="1">
      <protection locked="0"/>
    </xf>
    <xf numFmtId="0" fontId="7" fillId="4" borderId="5" xfId="0" applyFont="1" applyFill="1" applyBorder="1" applyAlignment="1" applyProtection="1">
      <alignment horizontal="left" vertical="center" wrapText="1" indent="2"/>
      <protection locked="0"/>
    </xf>
    <xf numFmtId="0" fontId="7" fillId="4" borderId="5" xfId="0" applyFont="1" applyFill="1" applyBorder="1" applyAlignment="1" applyProtection="1">
      <alignment horizontal="left" indent="2"/>
      <protection locked="0"/>
    </xf>
    <xf numFmtId="166" fontId="10" fillId="0" borderId="0" xfId="2" applyNumberFormat="1" applyFont="1" applyFill="1" applyBorder="1" applyAlignment="1" applyProtection="1">
      <alignment horizontal="center" vertical="center"/>
      <protection locked="0"/>
    </xf>
    <xf numFmtId="38" fontId="8" fillId="0" borderId="5" xfId="4" applyNumberFormat="1" applyFont="1" applyBorder="1" applyAlignment="1" applyProtection="1">
      <alignment horizontal="left" vertical="center"/>
      <protection locked="0"/>
    </xf>
    <xf numFmtId="43" fontId="8" fillId="0" borderId="5" xfId="2" applyFont="1" applyFill="1" applyBorder="1" applyAlignment="1" applyProtection="1">
      <alignment horizontal="center" vertical="center"/>
      <protection locked="0"/>
    </xf>
    <xf numFmtId="38" fontId="8" fillId="0" borderId="4" xfId="4" applyNumberFormat="1" applyFont="1" applyBorder="1" applyAlignment="1" applyProtection="1">
      <alignment horizontal="left" vertical="center"/>
      <protection locked="0"/>
    </xf>
    <xf numFmtId="167" fontId="8" fillId="0" borderId="4" xfId="2" applyNumberFormat="1" applyFont="1" applyFill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left" vertical="center" indent="3"/>
      <protection locked="0"/>
    </xf>
    <xf numFmtId="38" fontId="2" fillId="2" borderId="16" xfId="4" applyNumberFormat="1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 applyProtection="1">
      <alignment horizontal="left" indent="1"/>
      <protection locked="0"/>
    </xf>
    <xf numFmtId="0" fontId="7" fillId="7" borderId="2" xfId="0" applyFont="1" applyFill="1" applyBorder="1" applyAlignment="1" applyProtection="1">
      <alignment horizontal="center"/>
      <protection locked="0"/>
    </xf>
    <xf numFmtId="164" fontId="7" fillId="7" borderId="5" xfId="0" applyNumberFormat="1" applyFont="1" applyFill="1" applyBorder="1" applyAlignment="1">
      <alignment horizontal="center" vertical="center"/>
    </xf>
    <xf numFmtId="0" fontId="11" fillId="4" borderId="5" xfId="0" applyFont="1" applyFill="1" applyBorder="1" applyAlignment="1" applyProtection="1">
      <alignment horizontal="left" vertical="center" indent="2"/>
      <protection locked="0"/>
    </xf>
    <xf numFmtId="164" fontId="8" fillId="4" borderId="5" xfId="0" applyNumberFormat="1" applyFont="1" applyFill="1" applyBorder="1" applyAlignment="1" applyProtection="1">
      <alignment horizontal="center" vertical="center"/>
      <protection locked="0"/>
    </xf>
    <xf numFmtId="0" fontId="7" fillId="7" borderId="4" xfId="0" applyFont="1" applyFill="1" applyBorder="1" applyAlignment="1" applyProtection="1">
      <alignment horizontal="left" indent="1"/>
      <protection locked="0"/>
    </xf>
    <xf numFmtId="0" fontId="7" fillId="7" borderId="4" xfId="0" applyFont="1" applyFill="1" applyBorder="1" applyAlignment="1" applyProtection="1">
      <alignment horizontal="center" vertical="center"/>
      <protection locked="0"/>
    </xf>
    <xf numFmtId="165" fontId="8" fillId="4" borderId="5" xfId="0" applyNumberFormat="1" applyFont="1" applyFill="1" applyBorder="1" applyAlignment="1" applyProtection="1">
      <alignment horizontal="center" vertical="center"/>
      <protection locked="0"/>
    </xf>
    <xf numFmtId="0" fontId="12" fillId="7" borderId="5" xfId="0" applyFont="1" applyFill="1" applyBorder="1" applyAlignment="1" applyProtection="1">
      <alignment horizontal="left" indent="1"/>
      <protection locked="0"/>
    </xf>
    <xf numFmtId="0" fontId="7" fillId="7" borderId="5" xfId="0" applyFont="1" applyFill="1" applyBorder="1" applyAlignment="1" applyProtection="1">
      <alignment horizontal="left" vertical="center" indent="1"/>
      <protection locked="0"/>
    </xf>
    <xf numFmtId="0" fontId="7" fillId="3" borderId="5" xfId="0" applyFont="1" applyFill="1" applyBorder="1" applyAlignment="1" applyProtection="1">
      <alignment horizontal="left" vertical="center" indent="1"/>
      <protection locked="0"/>
    </xf>
    <xf numFmtId="0" fontId="7" fillId="3" borderId="4" xfId="0" applyFont="1" applyFill="1" applyBorder="1" applyAlignment="1" applyProtection="1">
      <alignment horizontal="left" vertical="center" indent="1"/>
      <protection locked="0"/>
    </xf>
    <xf numFmtId="9" fontId="7" fillId="3" borderId="4" xfId="3" applyFont="1" applyFill="1" applyBorder="1" applyAlignment="1" applyProtection="1">
      <alignment horizontal="center" vertical="center"/>
    </xf>
    <xf numFmtId="43" fontId="9" fillId="0" borderId="0" xfId="0" applyNumberFormat="1" applyFont="1" applyProtection="1">
      <protection locked="0"/>
    </xf>
    <xf numFmtId="43" fontId="9" fillId="0" borderId="0" xfId="3" applyNumberFormat="1" applyFont="1" applyProtection="1">
      <protection locked="0"/>
    </xf>
    <xf numFmtId="10" fontId="9" fillId="0" borderId="0" xfId="3" applyNumberFormat="1" applyFont="1" applyProtection="1">
      <protection locked="0"/>
    </xf>
    <xf numFmtId="0" fontId="9" fillId="0" borderId="1" xfId="0" applyFont="1" applyBorder="1"/>
    <xf numFmtId="0" fontId="9" fillId="0" borderId="30" xfId="0" applyFont="1" applyBorder="1"/>
    <xf numFmtId="0" fontId="7" fillId="4" borderId="27" xfId="0" applyFont="1" applyFill="1" applyBorder="1" applyAlignment="1" applyProtection="1">
      <alignment horizontal="left" vertical="center" wrapText="1" indent="2"/>
      <protection locked="0"/>
    </xf>
    <xf numFmtId="0" fontId="7" fillId="4" borderId="29" xfId="0" applyFont="1" applyFill="1" applyBorder="1" applyAlignment="1" applyProtection="1">
      <alignment horizontal="left" vertical="center" wrapText="1" indent="2"/>
      <protection locked="0"/>
    </xf>
    <xf numFmtId="164" fontId="9" fillId="0" borderId="1" xfId="0" applyNumberFormat="1" applyFont="1" applyBorder="1"/>
    <xf numFmtId="0" fontId="0" fillId="0" borderId="11" xfId="0" applyBorder="1"/>
    <xf numFmtId="164" fontId="9" fillId="0" borderId="28" xfId="0" applyNumberFormat="1" applyFont="1" applyBorder="1"/>
    <xf numFmtId="0" fontId="7" fillId="4" borderId="2" xfId="0" applyFont="1" applyFill="1" applyBorder="1" applyAlignment="1" applyProtection="1">
      <alignment horizontal="left" indent="2"/>
      <protection locked="0"/>
    </xf>
    <xf numFmtId="0" fontId="7" fillId="4" borderId="4" xfId="0" applyFont="1" applyFill="1" applyBorder="1" applyAlignment="1" applyProtection="1">
      <alignment horizontal="left" indent="2"/>
      <protection locked="0"/>
    </xf>
    <xf numFmtId="164" fontId="8" fillId="4" borderId="2" xfId="0" applyNumberFormat="1" applyFont="1" applyFill="1" applyBorder="1" applyAlignment="1" applyProtection="1">
      <alignment horizontal="center" vertical="center"/>
      <protection locked="0"/>
    </xf>
    <xf numFmtId="164" fontId="8" fillId="4" borderId="4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vertical="center"/>
      <protection locked="0"/>
    </xf>
    <xf numFmtId="168" fontId="14" fillId="0" borderId="5" xfId="0" applyNumberFormat="1" applyFont="1" applyBorder="1" applyAlignment="1">
      <alignment horizontal="center" vertical="center"/>
    </xf>
    <xf numFmtId="0" fontId="13" fillId="4" borderId="5" xfId="0" applyFont="1" applyFill="1" applyBorder="1" applyAlignment="1" applyProtection="1">
      <alignment vertical="center"/>
      <protection locked="0"/>
    </xf>
    <xf numFmtId="169" fontId="13" fillId="4" borderId="5" xfId="0" applyNumberFormat="1" applyFont="1" applyFill="1" applyBorder="1" applyAlignment="1" applyProtection="1">
      <alignment horizontal="center" vertical="center"/>
      <protection locked="0"/>
    </xf>
    <xf numFmtId="0" fontId="14" fillId="7" borderId="5" xfId="0" applyFont="1" applyFill="1" applyBorder="1" applyAlignment="1" applyProtection="1">
      <alignment vertical="center"/>
      <protection locked="0"/>
    </xf>
    <xf numFmtId="0" fontId="14" fillId="3" borderId="5" xfId="0" applyFont="1" applyFill="1" applyBorder="1" applyAlignment="1" applyProtection="1">
      <alignment vertical="center"/>
      <protection locked="0"/>
    </xf>
    <xf numFmtId="0" fontId="14" fillId="3" borderId="4" xfId="0" applyFont="1" applyFill="1" applyBorder="1" applyAlignment="1" applyProtection="1">
      <alignment vertical="center"/>
      <protection locked="0"/>
    </xf>
    <xf numFmtId="9" fontId="14" fillId="3" borderId="4" xfId="3" applyFont="1" applyFill="1" applyBorder="1" applyAlignment="1" applyProtection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vertical="center"/>
    </xf>
    <xf numFmtId="165" fontId="7" fillId="7" borderId="5" xfId="0" applyNumberFormat="1" applyFont="1" applyFill="1" applyBorder="1" applyAlignment="1">
      <alignment horizontal="center" vertical="center"/>
    </xf>
    <xf numFmtId="165" fontId="8" fillId="7" borderId="5" xfId="0" applyNumberFormat="1" applyFont="1" applyFill="1" applyBorder="1" applyAlignment="1">
      <alignment horizontal="center" vertical="center"/>
    </xf>
    <xf numFmtId="165" fontId="7" fillId="3" borderId="5" xfId="0" applyNumberFormat="1" applyFont="1" applyFill="1" applyBorder="1" applyAlignment="1">
      <alignment horizontal="center" vertical="center"/>
    </xf>
    <xf numFmtId="169" fontId="14" fillId="7" borderId="5" xfId="0" applyNumberFormat="1" applyFont="1" applyFill="1" applyBorder="1" applyAlignment="1">
      <alignment horizontal="center" vertical="center"/>
    </xf>
    <xf numFmtId="169" fontId="14" fillId="3" borderId="5" xfId="0" applyNumberFormat="1" applyFont="1" applyFill="1" applyBorder="1" applyAlignment="1">
      <alignment horizontal="center" vertical="center"/>
    </xf>
    <xf numFmtId="3" fontId="15" fillId="0" borderId="5" xfId="0" applyNumberFormat="1" applyFont="1" applyBorder="1" applyAlignment="1" applyProtection="1">
      <alignment horizontal="center"/>
      <protection locked="0"/>
    </xf>
    <xf numFmtId="3" fontId="15" fillId="0" borderId="4" xfId="0" applyNumberFormat="1" applyFont="1" applyBorder="1" applyAlignment="1" applyProtection="1">
      <alignment horizontal="center"/>
      <protection locked="0"/>
    </xf>
    <xf numFmtId="3" fontId="8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>
      <alignment horizontal="center"/>
    </xf>
    <xf numFmtId="43" fontId="2" fillId="6" borderId="13" xfId="2" applyFont="1" applyFill="1" applyBorder="1" applyAlignment="1" applyProtection="1">
      <alignment horizontal="center" vertical="center"/>
      <protection locked="0"/>
    </xf>
    <xf numFmtId="43" fontId="2" fillId="6" borderId="14" xfId="2" applyFont="1" applyFill="1" applyBorder="1" applyAlignment="1" applyProtection="1">
      <alignment horizontal="center" vertical="center"/>
      <protection locked="0"/>
    </xf>
    <xf numFmtId="43" fontId="2" fillId="6" borderId="25" xfId="2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38" fontId="2" fillId="2" borderId="23" xfId="4" applyNumberFormat="1" applyFont="1" applyFill="1" applyBorder="1" applyAlignment="1" applyProtection="1">
      <alignment horizontal="center" vertical="center"/>
      <protection locked="0"/>
    </xf>
    <xf numFmtId="38" fontId="2" fillId="2" borderId="24" xfId="4" applyNumberFormat="1" applyFont="1" applyFill="1" applyBorder="1" applyAlignment="1" applyProtection="1">
      <alignment horizontal="center" vertical="center"/>
      <protection locked="0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43" fontId="2" fillId="6" borderId="15" xfId="2" applyFont="1" applyFill="1" applyBorder="1" applyAlignment="1" applyProtection="1">
      <alignment horizontal="center" vertical="center"/>
      <protection locked="0"/>
    </xf>
    <xf numFmtId="0" fontId="2" fillId="6" borderId="21" xfId="0" applyFont="1" applyFill="1" applyBorder="1" applyAlignment="1" applyProtection="1">
      <alignment horizontal="center" vertical="center" wrapText="1"/>
      <protection locked="0"/>
    </xf>
    <xf numFmtId="0" fontId="2" fillId="6" borderId="22" xfId="0" applyFont="1" applyFill="1" applyBorder="1" applyAlignment="1" applyProtection="1">
      <alignment horizontal="center" vertical="center" wrapText="1"/>
      <protection locked="0"/>
    </xf>
    <xf numFmtId="0" fontId="2" fillId="2" borderId="35" xfId="0" applyFont="1" applyFill="1" applyBorder="1" applyAlignment="1" applyProtection="1">
      <alignment horizontal="center" vertical="center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36" xfId="0" applyFont="1" applyFill="1" applyBorder="1" applyAlignment="1" applyProtection="1">
      <alignment horizontal="center" vertical="center"/>
      <protection locked="0"/>
    </xf>
    <xf numFmtId="0" fontId="2" fillId="2" borderId="31" xfId="0" applyFont="1" applyFill="1" applyBorder="1" applyAlignment="1" applyProtection="1">
      <alignment horizontal="center" vertical="center"/>
      <protection locked="0"/>
    </xf>
    <xf numFmtId="0" fontId="2" fillId="2" borderId="32" xfId="0" applyFont="1" applyFill="1" applyBorder="1" applyAlignment="1" applyProtection="1">
      <alignment horizontal="center" vertical="center"/>
      <protection locked="0"/>
    </xf>
    <xf numFmtId="0" fontId="2" fillId="2" borderId="33" xfId="0" applyFont="1" applyFill="1" applyBorder="1" applyAlignment="1" applyProtection="1">
      <alignment horizontal="center" vertical="center"/>
      <protection locked="0"/>
    </xf>
  </cellXfs>
  <cellStyles count="10">
    <cellStyle name="Normal" xfId="0" builtinId="0"/>
    <cellStyle name="Normal 17 2 2 2 2 2" xfId="5" xr:uid="{6A30B76B-D391-4454-97BB-0CC3D49B616E}"/>
    <cellStyle name="Normal 2 2" xfId="1" xr:uid="{ECF64303-8FFF-4F8D-9C90-449BA926F9D9}"/>
    <cellStyle name="Normal 3 2" xfId="9" xr:uid="{69721031-9E30-40BC-A3D2-BDAE0C66A6E5}"/>
    <cellStyle name="Normal_spread_1" xfId="4" xr:uid="{ED2B7960-D3C3-455F-8A77-19D132707A19}"/>
    <cellStyle name="Porcentagem" xfId="3" builtinId="5"/>
    <cellStyle name="Vírgula" xfId="2" builtinId="3"/>
    <cellStyle name="Vírgula 2" xfId="7" xr:uid="{8EB986DC-BE54-495A-AE57-19E2454868CD}"/>
    <cellStyle name="Vírgula 5" xfId="6" xr:uid="{518E458A-1E1C-45F8-8F04-AF6D56D5802D}"/>
    <cellStyle name="Vírgula 5 2" xfId="8" xr:uid="{9A0BA89D-434D-4D04-9A99-56E65AABA5E7}"/>
  </cellStyles>
  <dxfs count="0"/>
  <tableStyles count="0" defaultTableStyle="TableStyleMedium2" defaultPivotStyle="PivotStyleLight16"/>
  <colors>
    <mruColors>
      <color rgb="FF204162"/>
      <color rgb="FF996633"/>
      <color rgb="FF336699"/>
      <color rgb="FFC18243"/>
      <color rgb="FF6599CD"/>
      <color rgb="FFE3C7AB"/>
      <color rgb="FFD9D9D9"/>
      <color rgb="FF91B6DB"/>
      <color rgb="FF0059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0</xdr:col>
      <xdr:colOff>657225</xdr:colOff>
      <xdr:row>0</xdr:row>
      <xdr:rowOff>617348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E70A7FB-EF78-46E0-A8A8-871FC656C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0"/>
          <a:ext cx="609600" cy="61734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3FCB-E385-44EF-9EEF-33B2D523B570}">
  <dimension ref="A1:J72"/>
  <sheetViews>
    <sheetView showGridLines="0" tabSelected="1" topLeftCell="A19" zoomScaleNormal="100" zoomScaleSheetLayoutView="100" workbookViewId="0">
      <selection activeCell="C12" sqref="C12"/>
    </sheetView>
  </sheetViews>
  <sheetFormatPr defaultRowHeight="14.4" x14ac:dyDescent="0.3"/>
  <cols>
    <col min="1" max="1" width="50.44140625" bestFit="1" customWidth="1"/>
    <col min="2" max="4" width="29.5546875" customWidth="1"/>
    <col min="6" max="6" width="22" bestFit="1" customWidth="1"/>
  </cols>
  <sheetData>
    <row r="1" spans="1:10" ht="49.5" customHeight="1" x14ac:dyDescent="0.3">
      <c r="A1" s="79" t="s">
        <v>44</v>
      </c>
      <c r="B1" s="80"/>
      <c r="C1" s="80"/>
      <c r="D1" s="80"/>
      <c r="E1" s="1"/>
      <c r="F1" s="1"/>
    </row>
    <row r="2" spans="1:10" x14ac:dyDescent="0.3">
      <c r="A2" s="64" t="s">
        <v>50</v>
      </c>
      <c r="B2" s="65"/>
      <c r="C2" s="65"/>
      <c r="D2" s="66"/>
      <c r="E2" s="2"/>
      <c r="F2" s="2"/>
    </row>
    <row r="3" spans="1:10" x14ac:dyDescent="0.3">
      <c r="A3" s="12" t="s">
        <v>1</v>
      </c>
      <c r="B3" s="13">
        <v>2024</v>
      </c>
      <c r="C3" s="13">
        <v>2025</v>
      </c>
      <c r="D3" s="14">
        <v>2026</v>
      </c>
      <c r="E3" s="2"/>
      <c r="F3" s="67" t="s">
        <v>0</v>
      </c>
      <c r="G3" s="68"/>
      <c r="H3" s="68"/>
      <c r="I3" s="68"/>
    </row>
    <row r="4" spans="1:10" x14ac:dyDescent="0.3">
      <c r="A4" s="11" t="s">
        <v>2</v>
      </c>
      <c r="B4" s="62">
        <v>1445</v>
      </c>
      <c r="C4" s="60">
        <v>2383</v>
      </c>
      <c r="D4" s="60">
        <v>2383</v>
      </c>
      <c r="E4" s="2"/>
      <c r="F4" s="72"/>
      <c r="G4" s="63"/>
      <c r="H4" s="63"/>
      <c r="I4" s="73"/>
    </row>
    <row r="5" spans="1:10" x14ac:dyDescent="0.3">
      <c r="A5" s="11" t="s">
        <v>3</v>
      </c>
      <c r="B5" s="62">
        <v>1685</v>
      </c>
      <c r="C5" s="60">
        <v>2121</v>
      </c>
      <c r="D5" s="60">
        <v>2121</v>
      </c>
      <c r="E5" s="2"/>
      <c r="F5" s="72"/>
      <c r="G5" s="63"/>
      <c r="H5" s="63"/>
      <c r="I5" s="73"/>
    </row>
    <row r="6" spans="1:10" x14ac:dyDescent="0.3">
      <c r="A6" s="11" t="s">
        <v>4</v>
      </c>
      <c r="B6" s="62">
        <v>699</v>
      </c>
      <c r="C6" s="60">
        <v>794</v>
      </c>
      <c r="D6" s="60">
        <v>794</v>
      </c>
      <c r="E6" s="2"/>
      <c r="F6" s="72"/>
      <c r="G6" s="63"/>
      <c r="H6" s="63"/>
      <c r="I6" s="73"/>
    </row>
    <row r="7" spans="1:10" x14ac:dyDescent="0.3">
      <c r="A7" s="11" t="s">
        <v>5</v>
      </c>
      <c r="B7" s="62">
        <v>3865</v>
      </c>
      <c r="C7" s="60">
        <v>4631</v>
      </c>
      <c r="D7" s="60">
        <v>4631</v>
      </c>
      <c r="E7" s="2"/>
      <c r="F7" s="72"/>
      <c r="G7" s="63"/>
      <c r="H7" s="63"/>
      <c r="I7" s="73"/>
    </row>
    <row r="8" spans="1:10" x14ac:dyDescent="0.3">
      <c r="A8" s="11" t="s">
        <v>6</v>
      </c>
      <c r="B8" s="62">
        <v>2210</v>
      </c>
      <c r="C8" s="60">
        <v>3173</v>
      </c>
      <c r="D8" s="60">
        <v>3173</v>
      </c>
      <c r="E8" s="2"/>
      <c r="F8" s="72"/>
      <c r="G8" s="63"/>
      <c r="H8" s="63"/>
      <c r="I8" s="73"/>
    </row>
    <row r="9" spans="1:10" x14ac:dyDescent="0.3">
      <c r="A9" s="11" t="s">
        <v>7</v>
      </c>
      <c r="B9" s="62">
        <v>2525</v>
      </c>
      <c r="C9" s="60">
        <v>3334</v>
      </c>
      <c r="D9" s="60">
        <v>3334</v>
      </c>
      <c r="E9" s="2"/>
      <c r="F9" s="72"/>
      <c r="G9" s="63"/>
      <c r="H9" s="63"/>
      <c r="I9" s="73"/>
    </row>
    <row r="10" spans="1:10" x14ac:dyDescent="0.3">
      <c r="A10" s="11" t="s">
        <v>8</v>
      </c>
      <c r="B10" s="62">
        <v>204</v>
      </c>
      <c r="C10" s="60">
        <v>267</v>
      </c>
      <c r="D10" s="60">
        <v>267</v>
      </c>
      <c r="E10" s="2"/>
      <c r="F10" s="72"/>
      <c r="G10" s="63"/>
      <c r="H10" s="63"/>
      <c r="I10" s="73"/>
    </row>
    <row r="11" spans="1:10" ht="15" thickBot="1" x14ac:dyDescent="0.35">
      <c r="A11" s="11" t="s">
        <v>9</v>
      </c>
      <c r="B11" s="62">
        <v>552</v>
      </c>
      <c r="C11" s="61">
        <v>379</v>
      </c>
      <c r="D11" s="61">
        <v>379</v>
      </c>
      <c r="E11" s="2"/>
      <c r="F11" s="72"/>
      <c r="G11" s="63"/>
      <c r="H11" s="63"/>
      <c r="I11" s="73"/>
    </row>
    <row r="12" spans="1:10" ht="15" thickBot="1" x14ac:dyDescent="0.35">
      <c r="A12" s="15" t="s">
        <v>10</v>
      </c>
      <c r="B12" s="54">
        <f>SUM(B4:B11)</f>
        <v>13185</v>
      </c>
      <c r="C12" s="54">
        <f t="shared" ref="C12:D12" si="0">SUM(C4:C11)</f>
        <v>17082</v>
      </c>
      <c r="D12" s="54">
        <f t="shared" si="0"/>
        <v>17082</v>
      </c>
      <c r="E12" s="2"/>
      <c r="F12" s="72"/>
      <c r="G12" s="63"/>
      <c r="H12" s="63"/>
      <c r="I12" s="73"/>
    </row>
    <row r="13" spans="1:10" ht="15" thickBot="1" x14ac:dyDescent="0.35">
      <c r="A13" s="3"/>
      <c r="B13" s="3"/>
      <c r="C13" s="3"/>
      <c r="D13" s="3"/>
      <c r="E13" s="2"/>
      <c r="F13" s="72"/>
      <c r="G13" s="63"/>
      <c r="H13" s="63"/>
      <c r="I13" s="73"/>
      <c r="J13" s="2"/>
    </row>
    <row r="14" spans="1:10" x14ac:dyDescent="0.3">
      <c r="A14" s="82" t="s">
        <v>11</v>
      </c>
      <c r="B14" s="82">
        <f>B3</f>
        <v>2024</v>
      </c>
      <c r="C14" s="82">
        <f>C3</f>
        <v>2025</v>
      </c>
      <c r="D14" s="82">
        <f>D3</f>
        <v>2026</v>
      </c>
      <c r="E14" s="2"/>
      <c r="F14" s="74"/>
      <c r="G14" s="75"/>
      <c r="H14" s="75"/>
      <c r="I14" s="76"/>
      <c r="J14" s="2"/>
    </row>
    <row r="15" spans="1:10" ht="15" thickBot="1" x14ac:dyDescent="0.35">
      <c r="A15" s="83"/>
      <c r="B15" s="83"/>
      <c r="C15" s="83"/>
      <c r="D15" s="83"/>
      <c r="E15" s="2"/>
      <c r="F15" s="2"/>
      <c r="G15" s="2"/>
      <c r="H15" s="2"/>
      <c r="I15" s="2"/>
      <c r="J15" s="2"/>
    </row>
    <row r="16" spans="1:10" x14ac:dyDescent="0.3">
      <c r="A16" s="16" t="s">
        <v>12</v>
      </c>
      <c r="B16" s="17" t="s">
        <v>57</v>
      </c>
      <c r="C16" s="17" t="s">
        <v>57</v>
      </c>
      <c r="D16" s="17" t="s">
        <v>57</v>
      </c>
      <c r="E16" s="2"/>
      <c r="F16" s="2"/>
      <c r="G16" s="2"/>
      <c r="H16" s="2"/>
      <c r="I16" s="2"/>
      <c r="J16" s="2"/>
    </row>
    <row r="17" spans="1:10" x14ac:dyDescent="0.3">
      <c r="A17" s="16" t="s">
        <v>13</v>
      </c>
      <c r="B17" s="18">
        <f>SUM(B18:B19)</f>
        <v>20636</v>
      </c>
      <c r="C17" s="18">
        <f>SUM(C18:C19)</f>
        <v>20636</v>
      </c>
      <c r="D17" s="18">
        <f>SUM(D18:D19)</f>
        <v>20636</v>
      </c>
      <c r="E17" s="2"/>
      <c r="F17" s="2"/>
      <c r="G17" s="2"/>
      <c r="H17" s="2"/>
      <c r="I17" s="2"/>
      <c r="J17" s="2"/>
    </row>
    <row r="18" spans="1:10" x14ac:dyDescent="0.3">
      <c r="A18" s="19" t="s">
        <v>14</v>
      </c>
      <c r="B18" s="20">
        <v>20636</v>
      </c>
      <c r="C18" s="20">
        <v>20636</v>
      </c>
      <c r="D18" s="20">
        <v>20636</v>
      </c>
      <c r="E18" s="2"/>
      <c r="F18" s="2"/>
      <c r="G18" s="2"/>
      <c r="H18" s="2"/>
      <c r="I18" s="2"/>
      <c r="J18" s="2"/>
    </row>
    <row r="19" spans="1:10" x14ac:dyDescent="0.3">
      <c r="A19" s="19" t="s">
        <v>15</v>
      </c>
      <c r="B19" s="20">
        <v>0</v>
      </c>
      <c r="C19" s="20">
        <v>0</v>
      </c>
      <c r="D19" s="20">
        <v>0</v>
      </c>
      <c r="E19" s="2"/>
      <c r="F19" s="2"/>
      <c r="G19" s="2"/>
      <c r="H19" s="2"/>
      <c r="I19" s="2"/>
      <c r="J19" s="2"/>
    </row>
    <row r="20" spans="1:10" ht="15" thickBot="1" x14ac:dyDescent="0.35">
      <c r="A20" s="21" t="s">
        <v>16</v>
      </c>
      <c r="B20" s="22" t="s">
        <v>17</v>
      </c>
      <c r="C20" s="22" t="s">
        <v>17</v>
      </c>
      <c r="D20" s="22" t="s">
        <v>17</v>
      </c>
      <c r="E20" s="2"/>
      <c r="F20" s="2"/>
      <c r="G20" s="2"/>
      <c r="H20" s="2"/>
      <c r="I20" s="2"/>
      <c r="J20" s="2"/>
    </row>
    <row r="21" spans="1:10" x14ac:dyDescent="0.3">
      <c r="A21" s="84" t="s">
        <v>18</v>
      </c>
      <c r="B21" s="85"/>
      <c r="C21" s="85"/>
      <c r="D21" s="86"/>
      <c r="E21" s="2"/>
      <c r="F21" s="2"/>
      <c r="G21" s="2"/>
      <c r="H21" s="2"/>
      <c r="I21" s="2"/>
      <c r="J21" s="2"/>
    </row>
    <row r="22" spans="1:10" x14ac:dyDescent="0.3">
      <c r="A22" s="39" t="s">
        <v>49</v>
      </c>
      <c r="B22" s="41"/>
      <c r="C22" s="41"/>
      <c r="D22" s="41"/>
      <c r="E22" s="2"/>
      <c r="F22" s="2"/>
      <c r="G22" s="2"/>
      <c r="H22" s="2"/>
      <c r="I22" s="2"/>
      <c r="J22" s="2"/>
    </row>
    <row r="23" spans="1:10" x14ac:dyDescent="0.3">
      <c r="A23" s="24" t="s">
        <v>19</v>
      </c>
      <c r="B23" s="18">
        <f>SUM(B24:B28)</f>
        <v>3100</v>
      </c>
      <c r="C23" s="18">
        <f>SUM(C24:C28)</f>
        <v>3400</v>
      </c>
      <c r="D23" s="18">
        <f>SUM(D24:D28)</f>
        <v>3500</v>
      </c>
      <c r="E23" s="2"/>
      <c r="F23" s="2"/>
      <c r="G23" s="2"/>
      <c r="H23" s="2"/>
      <c r="I23" s="2"/>
      <c r="J23" s="2"/>
    </row>
    <row r="24" spans="1:10" ht="15.75" customHeight="1" x14ac:dyDescent="0.3">
      <c r="A24" s="4" t="s">
        <v>43</v>
      </c>
      <c r="B24" s="23">
        <v>2350</v>
      </c>
      <c r="C24" s="23">
        <v>2550</v>
      </c>
      <c r="D24" s="23">
        <v>2600</v>
      </c>
      <c r="E24" s="2"/>
      <c r="F24" s="2"/>
      <c r="G24" s="2"/>
      <c r="H24" s="2"/>
      <c r="I24" s="2"/>
      <c r="J24" s="2"/>
    </row>
    <row r="25" spans="1:10" ht="15.75" customHeight="1" x14ac:dyDescent="0.3">
      <c r="A25" s="4" t="s">
        <v>20</v>
      </c>
      <c r="B25" s="23">
        <v>750</v>
      </c>
      <c r="C25" s="23">
        <v>850</v>
      </c>
      <c r="D25" s="23">
        <v>900</v>
      </c>
      <c r="E25" s="2"/>
      <c r="F25" s="2"/>
      <c r="G25" s="2"/>
      <c r="H25" s="2"/>
      <c r="I25" s="2"/>
      <c r="J25" s="2"/>
    </row>
    <row r="26" spans="1:10" ht="15.75" customHeight="1" x14ac:dyDescent="0.3">
      <c r="A26" s="4" t="s">
        <v>21</v>
      </c>
      <c r="B26" s="23">
        <v>0</v>
      </c>
      <c r="C26" s="23">
        <v>0</v>
      </c>
      <c r="D26" s="23">
        <v>0</v>
      </c>
      <c r="E26" s="2"/>
      <c r="F26" s="2"/>
      <c r="G26" s="2"/>
      <c r="H26" s="2"/>
      <c r="I26" s="2"/>
      <c r="J26" s="2"/>
    </row>
    <row r="27" spans="1:10" ht="15.75" customHeight="1" x14ac:dyDescent="0.3">
      <c r="A27" s="5" t="s">
        <v>22</v>
      </c>
      <c r="B27" s="20">
        <v>0</v>
      </c>
      <c r="C27" s="20">
        <v>0</v>
      </c>
      <c r="D27" s="20">
        <v>0</v>
      </c>
      <c r="E27" s="2"/>
      <c r="F27" s="2"/>
      <c r="G27" s="2"/>
      <c r="H27" s="2"/>
      <c r="I27" s="2"/>
      <c r="J27" s="2"/>
    </row>
    <row r="28" spans="1:10" ht="15.75" customHeight="1" x14ac:dyDescent="0.3">
      <c r="A28" s="40" t="s">
        <v>23</v>
      </c>
      <c r="B28" s="42"/>
      <c r="C28" s="42">
        <v>0</v>
      </c>
      <c r="D28" s="42">
        <v>0</v>
      </c>
      <c r="E28" s="2"/>
      <c r="J28" s="2"/>
    </row>
    <row r="29" spans="1:10" ht="15" thickBot="1" x14ac:dyDescent="0.35">
      <c r="A29" s="87" t="s">
        <v>24</v>
      </c>
      <c r="B29" s="88"/>
      <c r="C29" s="88"/>
      <c r="D29" s="89"/>
      <c r="E29" s="2"/>
      <c r="F29" s="64" t="s">
        <v>45</v>
      </c>
      <c r="G29" s="65"/>
      <c r="H29" s="65"/>
      <c r="I29" s="81"/>
      <c r="J29" s="2"/>
    </row>
    <row r="30" spans="1:10" x14ac:dyDescent="0.3">
      <c r="A30" s="24" t="s">
        <v>25</v>
      </c>
      <c r="B30" s="55">
        <f>B31*B32*B33</f>
        <v>29138400</v>
      </c>
      <c r="C30" s="55">
        <f>C31*C32*C33</f>
        <v>33750000</v>
      </c>
      <c r="D30" s="55">
        <f>D31*D32*D33</f>
        <v>41531760</v>
      </c>
      <c r="E30" s="2"/>
      <c r="F30" s="37"/>
      <c r="G30" s="13">
        <v>2024</v>
      </c>
      <c r="H30" s="13">
        <v>2025</v>
      </c>
      <c r="I30" s="14">
        <v>2026</v>
      </c>
      <c r="J30" s="2"/>
    </row>
    <row r="31" spans="1:10" x14ac:dyDescent="0.3">
      <c r="A31" s="19" t="s">
        <v>26</v>
      </c>
      <c r="B31" s="20">
        <v>5680</v>
      </c>
      <c r="C31" s="20">
        <v>6250</v>
      </c>
      <c r="D31" s="20">
        <v>6236</v>
      </c>
      <c r="E31" s="2"/>
      <c r="F31" s="34" t="s">
        <v>46</v>
      </c>
      <c r="G31" s="36">
        <f>B31+B35+B39</f>
        <v>11680</v>
      </c>
      <c r="H31" s="36">
        <f>C31+C35+C39</f>
        <v>13104</v>
      </c>
      <c r="I31" s="38">
        <f>D31+D35+D39</f>
        <v>13116</v>
      </c>
      <c r="J31" s="2"/>
    </row>
    <row r="32" spans="1:10" x14ac:dyDescent="0.3">
      <c r="A32" s="19" t="s">
        <v>27</v>
      </c>
      <c r="B32" s="20">
        <v>18</v>
      </c>
      <c r="C32" s="20">
        <v>18</v>
      </c>
      <c r="D32" s="20">
        <v>18</v>
      </c>
      <c r="E32" s="2"/>
      <c r="F32" s="34" t="s">
        <v>47</v>
      </c>
      <c r="G32" s="32">
        <f>(B33+B37)/2</f>
        <v>272.5</v>
      </c>
      <c r="H32" s="32">
        <f t="shared" ref="H32:I32" si="1">(C33+C37)/2</f>
        <v>290</v>
      </c>
      <c r="I32" s="32">
        <f t="shared" si="1"/>
        <v>365</v>
      </c>
      <c r="J32" s="2"/>
    </row>
    <row r="33" spans="1:10" x14ac:dyDescent="0.3">
      <c r="A33" s="19" t="s">
        <v>28</v>
      </c>
      <c r="B33" s="23">
        <v>285</v>
      </c>
      <c r="C33" s="23">
        <v>300</v>
      </c>
      <c r="D33" s="23">
        <v>370</v>
      </c>
      <c r="E33" s="2"/>
      <c r="F33" s="35" t="s">
        <v>48</v>
      </c>
      <c r="G33" s="33">
        <f>(B32+B36)/2</f>
        <v>17</v>
      </c>
      <c r="H33" s="33">
        <f t="shared" ref="H33:I33" si="2">(C32+C36)/2</f>
        <v>17</v>
      </c>
      <c r="I33" s="33">
        <f t="shared" si="2"/>
        <v>17</v>
      </c>
      <c r="J33" s="2"/>
    </row>
    <row r="34" spans="1:10" x14ac:dyDescent="0.3">
      <c r="A34" s="24" t="s">
        <v>29</v>
      </c>
      <c r="B34" s="55">
        <f>B35*B37*B36</f>
        <v>24960000</v>
      </c>
      <c r="C34" s="55">
        <f>C35*C36*C37</f>
        <v>30705920</v>
      </c>
      <c r="D34" s="55">
        <f>D35*D36*D37</f>
        <v>39628800</v>
      </c>
      <c r="E34" s="2"/>
      <c r="F34" s="2"/>
      <c r="G34" s="2"/>
      <c r="H34" s="2"/>
      <c r="I34" s="2"/>
      <c r="J34" s="2"/>
    </row>
    <row r="35" spans="1:10" x14ac:dyDescent="0.3">
      <c r="A35" s="19" t="s">
        <v>30</v>
      </c>
      <c r="B35" s="20">
        <v>6000</v>
      </c>
      <c r="C35" s="20">
        <v>6854</v>
      </c>
      <c r="D35" s="20">
        <v>6880</v>
      </c>
      <c r="E35" s="2"/>
      <c r="F35" s="2"/>
      <c r="G35" s="2"/>
      <c r="H35" s="2"/>
      <c r="I35" s="2"/>
      <c r="J35" s="2"/>
    </row>
    <row r="36" spans="1:10" x14ac:dyDescent="0.3">
      <c r="A36" s="19" t="s">
        <v>31</v>
      </c>
      <c r="B36" s="20">
        <v>16</v>
      </c>
      <c r="C36" s="20">
        <v>16</v>
      </c>
      <c r="D36" s="20">
        <v>16</v>
      </c>
      <c r="E36" s="2"/>
      <c r="F36" s="2"/>
      <c r="G36" s="2"/>
      <c r="H36" s="2"/>
      <c r="I36" s="2"/>
      <c r="J36" s="2"/>
    </row>
    <row r="37" spans="1:10" x14ac:dyDescent="0.3">
      <c r="A37" s="19" t="s">
        <v>28</v>
      </c>
      <c r="B37" s="23">
        <v>260</v>
      </c>
      <c r="C37" s="23">
        <v>280</v>
      </c>
      <c r="D37" s="23">
        <v>360</v>
      </c>
      <c r="E37" s="2"/>
      <c r="F37" s="2"/>
      <c r="G37" s="2"/>
      <c r="H37" s="2"/>
      <c r="I37" s="2"/>
      <c r="J37" s="2"/>
    </row>
    <row r="38" spans="1:10" x14ac:dyDescent="0.3">
      <c r="A38" s="24" t="s">
        <v>32</v>
      </c>
      <c r="B38" s="56">
        <f>B39*(B40*B41)</f>
        <v>0</v>
      </c>
      <c r="C38" s="56">
        <f>C39*(C40*C41)</f>
        <v>0</v>
      </c>
      <c r="D38" s="56">
        <f>D39*(D40*D41)</f>
        <v>0</v>
      </c>
      <c r="E38" s="2"/>
      <c r="F38" s="2"/>
      <c r="G38" s="2"/>
      <c r="H38" s="2"/>
      <c r="I38" s="2"/>
      <c r="J38" s="2"/>
    </row>
    <row r="39" spans="1:10" x14ac:dyDescent="0.3">
      <c r="A39" s="19" t="s">
        <v>33</v>
      </c>
      <c r="B39" s="20">
        <v>0</v>
      </c>
      <c r="C39" s="20">
        <v>0</v>
      </c>
      <c r="D39" s="20">
        <v>0</v>
      </c>
      <c r="E39" s="2"/>
      <c r="F39" s="2"/>
      <c r="G39" s="2"/>
      <c r="H39" s="2"/>
      <c r="I39" s="2"/>
      <c r="J39" s="2"/>
    </row>
    <row r="40" spans="1:10" x14ac:dyDescent="0.3">
      <c r="A40" s="19" t="s">
        <v>34</v>
      </c>
      <c r="B40" s="20">
        <v>0</v>
      </c>
      <c r="C40" s="20">
        <v>0</v>
      </c>
      <c r="D40" s="20">
        <v>0</v>
      </c>
      <c r="E40" s="2"/>
      <c r="F40" s="2"/>
      <c r="G40" s="2"/>
      <c r="H40" s="2"/>
      <c r="I40" s="2"/>
      <c r="J40" s="2"/>
    </row>
    <row r="41" spans="1:10" x14ac:dyDescent="0.3">
      <c r="A41" s="19" t="s">
        <v>28</v>
      </c>
      <c r="B41" s="23">
        <v>0</v>
      </c>
      <c r="C41" s="23">
        <v>0</v>
      </c>
      <c r="D41" s="23">
        <v>0</v>
      </c>
      <c r="E41" s="2"/>
      <c r="F41" s="2"/>
      <c r="G41" s="2"/>
      <c r="H41" s="2"/>
      <c r="I41" s="2"/>
      <c r="J41" s="2"/>
    </row>
    <row r="42" spans="1:10" x14ac:dyDescent="0.3">
      <c r="A42" s="25" t="s">
        <v>35</v>
      </c>
      <c r="B42" s="55">
        <f>B30+B34+B38</f>
        <v>54098400</v>
      </c>
      <c r="C42" s="55">
        <f>C30+C34+C38</f>
        <v>64455920</v>
      </c>
      <c r="D42" s="55">
        <f>D30+D34+D38</f>
        <v>81160560</v>
      </c>
      <c r="E42" s="2"/>
      <c r="F42" s="2"/>
      <c r="G42" s="2"/>
      <c r="H42" s="2"/>
      <c r="I42" s="2"/>
      <c r="J42" s="2"/>
    </row>
    <row r="43" spans="1:10" x14ac:dyDescent="0.3">
      <c r="A43" s="25" t="s">
        <v>36</v>
      </c>
      <c r="B43" s="55">
        <f>B23*(B31+B35)</f>
        <v>36208000</v>
      </c>
      <c r="C43" s="55">
        <f>C23*(C31+C35)</f>
        <v>44553600</v>
      </c>
      <c r="D43" s="55">
        <f t="shared" ref="D43" si="3">D23*(D31+D35)</f>
        <v>45906000</v>
      </c>
      <c r="E43" s="2"/>
      <c r="F43" s="2"/>
      <c r="G43" s="2"/>
      <c r="H43" s="2"/>
      <c r="I43" s="2"/>
      <c r="J43" s="2"/>
    </row>
    <row r="44" spans="1:10" x14ac:dyDescent="0.3">
      <c r="A44" s="26" t="s">
        <v>37</v>
      </c>
      <c r="B44" s="57">
        <f>B42-B43</f>
        <v>17890400</v>
      </c>
      <c r="C44" s="57">
        <f>C42-C43</f>
        <v>19902320</v>
      </c>
      <c r="D44" s="57">
        <f>D42-D43</f>
        <v>35254560</v>
      </c>
      <c r="E44" s="2"/>
      <c r="F44" s="2"/>
      <c r="G44" s="2"/>
      <c r="H44" s="2"/>
      <c r="I44" s="2"/>
      <c r="J44" s="2"/>
    </row>
    <row r="45" spans="1:10" x14ac:dyDescent="0.3">
      <c r="A45" s="27" t="s">
        <v>38</v>
      </c>
      <c r="B45" s="28">
        <f>IFERROR(B44/B42,0)</f>
        <v>0.33070109282344762</v>
      </c>
      <c r="C45" s="28">
        <f>IFERROR(C44/C42,0)</f>
        <v>0.30877412036008484</v>
      </c>
      <c r="D45" s="28">
        <f>IFERROR(D44/D42,0)</f>
        <v>0.43438044291463734</v>
      </c>
      <c r="E45" s="2"/>
      <c r="F45" s="2"/>
      <c r="G45" s="2"/>
      <c r="H45" s="2"/>
      <c r="I45" s="2"/>
      <c r="J45" s="2"/>
    </row>
    <row r="46" spans="1:10" ht="15" thickBot="1" x14ac:dyDescent="0.35">
      <c r="A46" s="3"/>
      <c r="B46" s="3"/>
      <c r="C46" s="6"/>
      <c r="D46" s="6"/>
      <c r="E46" s="2"/>
      <c r="F46" s="2"/>
      <c r="G46" s="2"/>
      <c r="H46" s="2"/>
      <c r="I46" s="2"/>
      <c r="J46" s="2"/>
    </row>
    <row r="47" spans="1:10" ht="15" thickBot="1" x14ac:dyDescent="0.35">
      <c r="A47" s="77" t="s">
        <v>39</v>
      </c>
      <c r="B47" s="78"/>
      <c r="C47" s="29"/>
      <c r="D47" s="29"/>
      <c r="E47" s="2"/>
      <c r="F47" s="2"/>
      <c r="G47" s="2"/>
      <c r="H47" s="2"/>
      <c r="I47" s="2"/>
      <c r="J47" s="2"/>
    </row>
    <row r="48" spans="1:10" x14ac:dyDescent="0.3">
      <c r="A48" s="7" t="s">
        <v>40</v>
      </c>
      <c r="B48" s="8">
        <v>0</v>
      </c>
      <c r="C48" s="30"/>
      <c r="D48" s="30"/>
      <c r="E48" s="2"/>
      <c r="F48" s="2"/>
      <c r="G48" s="2"/>
      <c r="H48" s="2"/>
      <c r="I48" s="2"/>
      <c r="J48" s="2"/>
    </row>
    <row r="49" spans="1:10" x14ac:dyDescent="0.3">
      <c r="A49" s="7" t="s">
        <v>41</v>
      </c>
      <c r="B49" s="8">
        <v>0</v>
      </c>
      <c r="C49" s="31"/>
      <c r="D49" s="31"/>
      <c r="E49" s="2"/>
      <c r="F49" s="2"/>
      <c r="G49" s="2"/>
      <c r="H49" s="2"/>
      <c r="I49" s="2"/>
      <c r="J49" s="2"/>
    </row>
    <row r="50" spans="1:10" x14ac:dyDescent="0.3">
      <c r="A50" s="9" t="s">
        <v>42</v>
      </c>
      <c r="B50" s="10">
        <v>0</v>
      </c>
      <c r="C50" s="3"/>
      <c r="D50" s="3"/>
      <c r="E50" s="2"/>
      <c r="F50" s="2"/>
      <c r="G50" s="2"/>
      <c r="H50" s="2"/>
      <c r="I50" s="2"/>
      <c r="J50" s="2"/>
    </row>
    <row r="51" spans="1:10" x14ac:dyDescent="0.3">
      <c r="A51" s="3"/>
      <c r="B51" s="3"/>
      <c r="C51" s="3"/>
      <c r="D51" s="3"/>
      <c r="E51" s="2"/>
      <c r="F51" s="2"/>
      <c r="G51" s="2"/>
      <c r="H51" s="2"/>
      <c r="I51" s="2"/>
      <c r="J51" s="2"/>
    </row>
    <row r="52" spans="1:10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5" spans="1:10" x14ac:dyDescent="0.3">
      <c r="A55" s="64" t="s">
        <v>55</v>
      </c>
      <c r="B55" s="65"/>
      <c r="C55" s="65"/>
      <c r="D55" s="66"/>
    </row>
    <row r="56" spans="1:10" x14ac:dyDescent="0.3">
      <c r="A56" s="13" t="s">
        <v>51</v>
      </c>
      <c r="B56" s="13">
        <v>2023</v>
      </c>
      <c r="C56" s="13">
        <v>2024</v>
      </c>
      <c r="D56" s="14">
        <v>2025</v>
      </c>
      <c r="F56" s="67" t="s">
        <v>0</v>
      </c>
      <c r="G56" s="68"/>
      <c r="H56" s="68"/>
      <c r="I56" s="68"/>
    </row>
    <row r="57" spans="1:10" x14ac:dyDescent="0.3">
      <c r="A57" s="43" t="s">
        <v>52</v>
      </c>
      <c r="B57" s="44">
        <v>0</v>
      </c>
      <c r="C57" s="44">
        <v>0</v>
      </c>
      <c r="D57" s="44">
        <v>0</v>
      </c>
      <c r="F57" s="69"/>
      <c r="G57" s="70"/>
      <c r="H57" s="70"/>
      <c r="I57" s="71"/>
    </row>
    <row r="58" spans="1:10" x14ac:dyDescent="0.3">
      <c r="A58" s="45" t="s">
        <v>53</v>
      </c>
      <c r="B58" s="46">
        <v>0</v>
      </c>
      <c r="C58" s="46">
        <v>0</v>
      </c>
      <c r="D58" s="46">
        <v>0</v>
      </c>
      <c r="F58" s="72"/>
      <c r="G58" s="63"/>
      <c r="H58" s="63"/>
      <c r="I58" s="73"/>
    </row>
    <row r="59" spans="1:10" x14ac:dyDescent="0.3">
      <c r="A59" s="45" t="s">
        <v>54</v>
      </c>
      <c r="B59" s="46">
        <v>0</v>
      </c>
      <c r="C59" s="46">
        <v>0</v>
      </c>
      <c r="D59" s="46">
        <v>0</v>
      </c>
      <c r="F59" s="72"/>
      <c r="G59" s="63"/>
      <c r="H59" s="63"/>
      <c r="I59" s="73"/>
    </row>
    <row r="60" spans="1:10" x14ac:dyDescent="0.3">
      <c r="A60" s="47" t="s">
        <v>35</v>
      </c>
      <c r="B60" s="58">
        <f>B57*B58</f>
        <v>0</v>
      </c>
      <c r="C60" s="58">
        <f>C57*C58</f>
        <v>0</v>
      </c>
      <c r="D60" s="58">
        <f>D57*D58</f>
        <v>0</v>
      </c>
      <c r="F60" s="72"/>
      <c r="G60" s="63"/>
      <c r="H60" s="63"/>
      <c r="I60" s="73"/>
    </row>
    <row r="61" spans="1:10" x14ac:dyDescent="0.3">
      <c r="A61" s="47" t="s">
        <v>36</v>
      </c>
      <c r="B61" s="58">
        <f>B59*B57</f>
        <v>0</v>
      </c>
      <c r="C61" s="58">
        <f>C59*C57</f>
        <v>0</v>
      </c>
      <c r="D61" s="58">
        <f>D59*D57</f>
        <v>0</v>
      </c>
      <c r="F61" s="72"/>
      <c r="G61" s="63"/>
      <c r="H61" s="63"/>
      <c r="I61" s="73"/>
    </row>
    <row r="62" spans="1:10" x14ac:dyDescent="0.3">
      <c r="A62" s="48" t="s">
        <v>37</v>
      </c>
      <c r="B62" s="59">
        <f>B60-B61</f>
        <v>0</v>
      </c>
      <c r="C62" s="59">
        <f>C60-C61</f>
        <v>0</v>
      </c>
      <c r="D62" s="59">
        <f>D60-D61</f>
        <v>0</v>
      </c>
      <c r="F62" s="72"/>
      <c r="G62" s="63"/>
      <c r="H62" s="63"/>
      <c r="I62" s="73"/>
    </row>
    <row r="63" spans="1:10" x14ac:dyDescent="0.3">
      <c r="A63" s="49" t="s">
        <v>38</v>
      </c>
      <c r="B63" s="50">
        <f>IFERROR(B62/B60,0)</f>
        <v>0</v>
      </c>
      <c r="C63" s="50">
        <f>IFERROR(C62/C60,0)</f>
        <v>0</v>
      </c>
      <c r="D63" s="50">
        <f>IFERROR(D62/D60,0)</f>
        <v>0</v>
      </c>
      <c r="F63" s="74"/>
      <c r="G63" s="75"/>
      <c r="H63" s="75"/>
      <c r="I63" s="76"/>
    </row>
    <row r="64" spans="1:10" x14ac:dyDescent="0.3">
      <c r="F64" s="2"/>
      <c r="G64" s="2"/>
      <c r="H64" s="2"/>
      <c r="I64" s="2"/>
    </row>
    <row r="65" spans="1:9" x14ac:dyDescent="0.3">
      <c r="A65" s="51" t="s">
        <v>56</v>
      </c>
      <c r="B65" s="52">
        <v>2023</v>
      </c>
      <c r="C65" s="52">
        <v>2024</v>
      </c>
      <c r="D65" s="53">
        <v>2025</v>
      </c>
      <c r="F65" s="67" t="s">
        <v>0</v>
      </c>
      <c r="G65" s="68"/>
      <c r="H65" s="68"/>
      <c r="I65" s="68"/>
    </row>
    <row r="66" spans="1:9" x14ac:dyDescent="0.3">
      <c r="A66" s="43" t="s">
        <v>52</v>
      </c>
      <c r="B66" s="44">
        <v>0</v>
      </c>
      <c r="C66" s="44">
        <v>0</v>
      </c>
      <c r="D66" s="44">
        <v>0</v>
      </c>
      <c r="F66" s="69"/>
      <c r="G66" s="70"/>
      <c r="H66" s="70"/>
      <c r="I66" s="71"/>
    </row>
    <row r="67" spans="1:9" x14ac:dyDescent="0.3">
      <c r="A67" s="45" t="s">
        <v>53</v>
      </c>
      <c r="B67" s="46">
        <v>0</v>
      </c>
      <c r="C67" s="46">
        <v>0</v>
      </c>
      <c r="D67" s="46">
        <v>0</v>
      </c>
      <c r="F67" s="72"/>
      <c r="G67" s="63"/>
      <c r="H67" s="63"/>
      <c r="I67" s="73"/>
    </row>
    <row r="68" spans="1:9" x14ac:dyDescent="0.3">
      <c r="A68" s="45" t="s">
        <v>54</v>
      </c>
      <c r="B68" s="46">
        <v>0</v>
      </c>
      <c r="C68" s="46">
        <v>0</v>
      </c>
      <c r="D68" s="46">
        <v>0</v>
      </c>
      <c r="F68" s="72"/>
      <c r="G68" s="63"/>
      <c r="H68" s="63"/>
      <c r="I68" s="73"/>
    </row>
    <row r="69" spans="1:9" x14ac:dyDescent="0.3">
      <c r="A69" s="47" t="s">
        <v>35</v>
      </c>
      <c r="B69" s="58">
        <f>B66*B67</f>
        <v>0</v>
      </c>
      <c r="C69" s="58">
        <f>C66*C67</f>
        <v>0</v>
      </c>
      <c r="D69" s="58">
        <f>D66*D67</f>
        <v>0</v>
      </c>
      <c r="F69" s="72"/>
      <c r="G69" s="63"/>
      <c r="H69" s="63"/>
      <c r="I69" s="73"/>
    </row>
    <row r="70" spans="1:9" x14ac:dyDescent="0.3">
      <c r="A70" s="47" t="s">
        <v>36</v>
      </c>
      <c r="B70" s="58">
        <f>B68*B66</f>
        <v>0</v>
      </c>
      <c r="C70" s="58">
        <f>C68*C66</f>
        <v>0</v>
      </c>
      <c r="D70" s="58">
        <f>D68*D66</f>
        <v>0</v>
      </c>
      <c r="F70" s="72"/>
      <c r="G70" s="63"/>
      <c r="H70" s="63"/>
      <c r="I70" s="73"/>
    </row>
    <row r="71" spans="1:9" x14ac:dyDescent="0.3">
      <c r="A71" s="48" t="s">
        <v>37</v>
      </c>
      <c r="B71" s="59">
        <f>B69-B70</f>
        <v>0</v>
      </c>
      <c r="C71" s="59">
        <f>C69-C70</f>
        <v>0</v>
      </c>
      <c r="D71" s="59">
        <f>D69-D70</f>
        <v>0</v>
      </c>
      <c r="F71" s="72"/>
      <c r="G71" s="63"/>
      <c r="H71" s="63"/>
      <c r="I71" s="73"/>
    </row>
    <row r="72" spans="1:9" x14ac:dyDescent="0.3">
      <c r="A72" s="49" t="s">
        <v>38</v>
      </c>
      <c r="B72" s="50">
        <f>IFERROR(B71/B69,0)</f>
        <v>0</v>
      </c>
      <c r="C72" s="50">
        <f>IFERROR(C71/C69,0)</f>
        <v>0</v>
      </c>
      <c r="D72" s="50">
        <f>IFERROR(D71/D69,0)</f>
        <v>0</v>
      </c>
      <c r="F72" s="74"/>
      <c r="G72" s="75"/>
      <c r="H72" s="75"/>
      <c r="I72" s="76"/>
    </row>
  </sheetData>
  <mergeCells count="17">
    <mergeCell ref="A47:B47"/>
    <mergeCell ref="A1:D1"/>
    <mergeCell ref="F29:I29"/>
    <mergeCell ref="A2:D2"/>
    <mergeCell ref="A14:A15"/>
    <mergeCell ref="B14:B15"/>
    <mergeCell ref="C14:C15"/>
    <mergeCell ref="D14:D15"/>
    <mergeCell ref="A21:D21"/>
    <mergeCell ref="A29:D29"/>
    <mergeCell ref="F3:I3"/>
    <mergeCell ref="F4:I14"/>
    <mergeCell ref="A55:D55"/>
    <mergeCell ref="F56:I56"/>
    <mergeCell ref="F57:I63"/>
    <mergeCell ref="F65:I65"/>
    <mergeCell ref="F66:I72"/>
  </mergeCells>
  <dataValidations count="2">
    <dataValidation type="list" allowBlank="1" showInputMessage="1" showErrorMessage="1" sqref="B16:D16" xr:uid="{91378A94-F73B-4953-94A3-E9E833576A6F}">
      <formula1>"Cria,Cria e Recria,Recria e Engorda,Ciclo Completo"</formula1>
    </dataValidation>
    <dataValidation type="list" allowBlank="1" showInputMessage="1" showErrorMessage="1" sqref="B20:D20" xr:uid="{6974AD0B-9323-4720-9AC3-9406BF8DE56D}">
      <formula1>"A Pasto,Semi Confinamento,Semi + Confinamento,Confinamento"</formula1>
    </dataValidation>
  </dataValidations>
  <pageMargins left="0.511811024" right="0.511811024" top="0.78740157499999996" bottom="0.78740157499999996" header="0.31496062000000002" footer="0.31496062000000002"/>
  <pageSetup paperSize="9"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94C4-12B6-46C2-96EC-49A9C8F84EDC}">
  <sheetPr codeName="Planilha4"/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b7e2152-9cc3-4443-b6fd-c7b46d51f2be}" enabled="1" method="Privileged" siteId="{100453cd-a9f7-4d13-923b-0dff037d528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Quadro Pecuaria</vt:lpstr>
      <vt:lpstr>CIQ_LinkingNames</vt:lpstr>
      <vt:lpstr>'Quadro Pecuaria'!Area_de_impressao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Mayara Franca</dc:creator>
  <cp:lastModifiedBy>Windson Araujo</cp:lastModifiedBy>
  <cp:lastPrinted>2025-03-19T15:46:36Z</cp:lastPrinted>
  <dcterms:created xsi:type="dcterms:W3CDTF">2024-11-22T18:04:36Z</dcterms:created>
  <dcterms:modified xsi:type="dcterms:W3CDTF">2026-09-02T12:43:18Z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7e2152-9cc3-4443-b6fd-c7b46d51f2be_Enabled">
    <vt:lpwstr>true</vt:lpwstr>
  </property>
  <property fmtid="{D5CDD505-2E9C-101B-9397-08002B2CF9AE}" pid="3" name="MSIP_Label_0b7e2152-9cc3-4443-b6fd-c7b46d51f2be_SetDate">
    <vt:lpwstr>2024-11-22T20:19:40Z</vt:lpwstr>
  </property>
  <property fmtid="{D5CDD505-2E9C-101B-9397-08002B2CF9AE}" pid="4" name="MSIP_Label_0b7e2152-9cc3-4443-b6fd-c7b46d51f2be_Method">
    <vt:lpwstr>Privileged</vt:lpwstr>
  </property>
  <property fmtid="{D5CDD505-2E9C-101B-9397-08002B2CF9AE}" pid="5" name="MSIP_Label_0b7e2152-9cc3-4443-b6fd-c7b46d51f2be_Name">
    <vt:lpwstr>Publico</vt:lpwstr>
  </property>
  <property fmtid="{D5CDD505-2E9C-101B-9397-08002B2CF9AE}" pid="6" name="MSIP_Label_0b7e2152-9cc3-4443-b6fd-c7b46d51f2be_SiteId">
    <vt:lpwstr>100453cd-a9f7-4d13-923b-0dff037d5286</vt:lpwstr>
  </property>
  <property fmtid="{D5CDD505-2E9C-101B-9397-08002B2CF9AE}" pid="7" name="MSIP_Label_0b7e2152-9cc3-4443-b6fd-c7b46d51f2be_ActionId">
    <vt:lpwstr>d3037f76-25b8-4bca-9492-c5681c9bd868</vt:lpwstr>
  </property>
  <property fmtid="{D5CDD505-2E9C-101B-9397-08002B2CF9AE}" pid="8" name="MSIP_Label_0b7e2152-9cc3-4443-b6fd-c7b46d51f2be_ContentBits">
    <vt:lpwstr>2</vt:lpwstr>
  </property>
</Properties>
</file>